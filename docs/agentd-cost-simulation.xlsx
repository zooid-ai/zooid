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latform Pricing" sheetId="2" state="visible" r:id="rId4"/>
    <sheet name="Cost Simulation" sheetId="3" state="visible" r:id="rId5"/>
    <sheet name="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<sst xmlns="http://schemas.openxmlformats.org/spreadsheetml/2006/main" count="88" uniqueCount="80">
  <si>
    <t xml:space="preserve">agentd Cost Simulation — Assumptions</t>
  </si>
  <si>
    <t xml:space="preserve">Usage Scenario</t>
  </si>
  <si>
    <t xml:space="preserve">Value</t>
  </si>
  <si>
    <t xml:space="preserve">Notes</t>
  </si>
  <si>
    <t xml:space="preserve">Sessions per day</t>
  </si>
  <si>
    <t xml:space="preserve">Agent tasks triggered per day</t>
  </si>
  <si>
    <t xml:space="preserve">Avg session duration (minutes)</t>
  </si>
  <si>
    <t xml:space="preserve">Time the agent actively runs per task</t>
  </si>
  <si>
    <t xml:space="preserve">Avg session memory (GiB)</t>
  </si>
  <si>
    <t xml:space="preserve">RAM needed (Claude Code needs ~2GB)</t>
  </si>
  <si>
    <t xml:space="preserve">Avg session vCPUs</t>
  </si>
  <si>
    <t xml:space="preserve">CPU cores during active session</t>
  </si>
  <si>
    <t xml:space="preserve">Days per month</t>
  </si>
  <si>
    <t xml:space="preserve">Persistent volume (GB)</t>
  </si>
  <si>
    <t xml:space="preserve">For agent session state (GCS FUSE / Fly volume)</t>
  </si>
  <si>
    <t xml:space="preserve">Egress per session (MB)</t>
  </si>
  <si>
    <t xml:space="preserve">Network out per session (API calls, output)</t>
  </si>
  <si>
    <t xml:space="preserve">Derived</t>
  </si>
  <si>
    <t xml:space="preserve">Total sessions/month</t>
  </si>
  <si>
    <t xml:space="preserve">Total active minutes/month</t>
  </si>
  <si>
    <t xml:space="preserve">Total active seconds/month</t>
  </si>
  <si>
    <t xml:space="preserve">Total vCPU-seconds/month</t>
  </si>
  <si>
    <t xml:space="preserve">Total GiB-seconds/month</t>
  </si>
  <si>
    <t xml:space="preserve">Total egress (GB)/month</t>
  </si>
  <si>
    <t xml:space="preserve">Platform Pricing Comparison (per-unit rates)</t>
  </si>
  <si>
    <t xml:space="preserve">Resource</t>
  </si>
  <si>
    <t xml:space="preserve">Fly.io</t>
  </si>
  <si>
    <t xml:space="preserve">Cloud Run</t>
  </si>
  <si>
    <t xml:space="preserve">CF Containers</t>
  </si>
  <si>
    <t xml:space="preserve">vCPU per second</t>
  </si>
  <si>
    <t xml:space="preserve">Fly: shared-cpu-1x 1GB | CR: instance-based | CF: per vCPU-sec</t>
  </si>
  <si>
    <t xml:space="preserve">Memory per GiB-second</t>
  </si>
  <si>
    <t xml:space="preserve">N/A</t>
  </si>
  <si>
    <t xml:space="preserve">Fly: bundled in preset | CR &amp; CF: separate charge</t>
  </si>
  <si>
    <t xml:space="preserve">Volume storage ($/GB/month)</t>
  </si>
  <si>
    <t xml:space="preserve">Fly: volumes | CR: GCS bucket ~$0.026/GB | CF: per GB-sec</t>
  </si>
  <si>
    <t xml:space="preserve">Egress NA+EU ($/GB)</t>
  </si>
  <si>
    <t xml:space="preserve">CR: standard internet egress | CF: 1TB included</t>
  </si>
  <si>
    <t xml:space="preserve">Min monthly platform cost</t>
  </si>
  <si>
    <t xml:space="preserve">CF requires $5/mo Workers Paid plan</t>
  </si>
  <si>
    <t xml:space="preserve">Free tier vCPU-seconds</t>
  </si>
  <si>
    <t xml:space="preserve">CR: 240k vCPU-sec free/month (us-central1)</t>
  </si>
  <si>
    <t xml:space="preserve">Free tier GiB-seconds</t>
  </si>
  <si>
    <t xml:space="preserve">CR: 450k GiB-sec free/month</t>
  </si>
  <si>
    <t xml:space="preserve">Free tier included (GiB-hours)</t>
  </si>
  <si>
    <t xml:space="preserve">CF: 25 GiB-hours = 90000 GiB-seconds included</t>
  </si>
  <si>
    <t xml:space="preserve">Free tier included (vCPU-min)</t>
  </si>
  <si>
    <t xml:space="preserve">CF: 375 vCPU-min = 22500 vCPU-sec included</t>
  </si>
  <si>
    <t xml:space="preserve">Stopped machine cost ($/GB rootfs/mo)</t>
  </si>
  <si>
    <t xml:space="preserve">Fly charges for rootfs of stopped machines</t>
  </si>
  <si>
    <t xml:space="preserve">agentd Monthly Cost Simulation</t>
  </si>
  <si>
    <t xml:space="preserve">Based on assumptions in 'Assumptions' sheet</t>
  </si>
  <si>
    <t xml:space="preserve">Cost Component</t>
  </si>
  <si>
    <t xml:space="preserve">Managed Agents</t>
  </si>
  <si>
    <t xml:space="preserve">Compute (vCPU)</t>
  </si>
  <si>
    <t xml:space="preserve">Memory (GiB)</t>
  </si>
  <si>
    <t xml:space="preserve">Persistent volume/storage</t>
  </si>
  <si>
    <t xml:space="preserve">Network egress</t>
  </si>
  <si>
    <t xml:space="preserve">Platform base fee</t>
  </si>
  <si>
    <t xml:space="preserve">Stopped machine rootfs (~2GB image)</t>
  </si>
  <si>
    <t xml:space="preserve">Claude Managed Agents fee</t>
  </si>
  <si>
    <t xml:space="preserve">TOTAL MONTHLY COST</t>
  </si>
  <si>
    <t xml:space="preserve">(excludes LLM API token costs — same across all platforms)</t>
  </si>
  <si>
    <t xml:space="preserve">Cost by Usage Scenario (monthly)</t>
  </si>
  <si>
    <t xml:space="preserve">Scenario</t>
  </si>
  <si>
    <t xml:space="preserve">Sessions/day</t>
  </si>
  <si>
    <t xml:space="preserve">Avg min/session</t>
  </si>
  <si>
    <t xml:space="preserve">Light (hobby)</t>
  </si>
  <si>
    <t xml:space="preserve">Moderate (solo dev)</t>
  </si>
  <si>
    <t xml:space="preserve">Active (small team)</t>
  </si>
  <si>
    <t xml:space="preserve">Heavy (team)</t>
  </si>
  <si>
    <t xml:space="preserve">Intense (org)</t>
  </si>
  <si>
    <t xml:space="preserve">Notes:</t>
  </si>
  <si>
    <t xml:space="preserve">• All scenarios assume 1 vCPU, 2 GiB RAM, 1GB persistent volume</t>
  </si>
  <si>
    <t xml:space="preserve">• Fly.io uses shared-cpu-1x with 1GB preset ($0.0000228/sec)</t>
  </si>
  <si>
    <t xml:space="preserve">• Cloud Run free tier: 240k vCPU-sec + 450k GiB-sec/month</t>
  </si>
  <si>
    <t xml:space="preserve">• CF Containers requires $5/mo Workers Paid plan</t>
  </si>
  <si>
    <t xml:space="preserve">• Managed Agents: $0.08/session-hour + API tokens (not shown)</t>
  </si>
  <si>
    <t xml:space="preserve">• LLM API token costs are the same regardless of platform</t>
  </si>
  <si>
    <t xml:space="preserve">• Egress costs excluded (minimal for agent workloads)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</si>
</sst>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0000"/>
    <numFmt numFmtId="167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2F5496"/>
      <name val="Cambria"/>
      <family val="0"/>
      <charset val="1"/>
    </font>
    <font>
      <b val="true"/>
      <sz val="12"/>
      <color rgb="FF2F5496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10</v>
      </c>
      <c r="C4" s="5" t="s">
        <v>5</v>
      </c>
    </row>
    <row r="5" customFormat="false" ht="15" hidden="false" customHeight="false" outlineLevel="0" collapsed="false">
      <c r="A5" s="3" t="s">
        <v>6</v>
      </c>
      <c r="B5" s="4" t="n">
        <v>5</v>
      </c>
      <c r="C5" s="5" t="s">
        <v>7</v>
      </c>
    </row>
    <row r="6" customFormat="false" ht="15" hidden="false" customHeight="false" outlineLevel="0" collapsed="false">
      <c r="A6" s="3" t="s">
        <v>8</v>
      </c>
      <c r="B6" s="4" t="n">
        <v>2</v>
      </c>
      <c r="C6" s="5" t="s">
        <v>9</v>
      </c>
    </row>
    <row r="7" customFormat="false" ht="15" hidden="false" customHeight="false" outlineLevel="0" collapsed="false">
      <c r="A7" s="3" t="s">
        <v>10</v>
      </c>
      <c r="B7" s="4" t="n">
        <v>1</v>
      </c>
      <c r="C7" s="5" t="s">
        <v>11</v>
      </c>
    </row>
    <row r="8" customFormat="false" ht="15" hidden="false" customHeight="false" outlineLevel="0" collapsed="false">
      <c r="A8" s="3" t="s">
        <v>12</v>
      </c>
      <c r="B8" s="4" t="n">
        <v>30</v>
      </c>
      <c r="C8" s="5"/>
    </row>
    <row r="9" customFormat="false" ht="15" hidden="false" customHeight="false" outlineLevel="0" collapsed="false">
      <c r="A9" s="3" t="s">
        <v>13</v>
      </c>
      <c r="B9" s="4" t="n">
        <v>1</v>
      </c>
      <c r="C9" s="5" t="s">
        <v>14</v>
      </c>
    </row>
    <row r="10" customFormat="false" ht="15" hidden="false" customHeight="false" outlineLevel="0" collapsed="false">
      <c r="A10" s="3" t="s">
        <v>15</v>
      </c>
      <c r="B10" s="4" t="n">
        <v>5</v>
      </c>
      <c r="C10" s="5" t="s">
        <v>16</v>
      </c>
    </row>
    <row r="12" customFormat="false" ht="15" hidden="false" customHeight="false" outlineLevel="0" collapsed="false">
      <c r="A12" s="6" t="s">
        <v>17</v>
      </c>
    </row>
    <row r="13" customFormat="false" ht="15" hidden="false" customHeight="false" outlineLevel="0" collapsed="false">
      <c r="A13" s="3" t="s">
        <v>18</v>
      </c>
      <c r="B13" s="7" t="n">
        <f aca="false">B4*B8</f>
        <v>300</v>
      </c>
    </row>
    <row r="14" customFormat="false" ht="15" hidden="false" customHeight="false" outlineLevel="0" collapsed="false">
      <c r="A14" s="3" t="s">
        <v>19</v>
      </c>
      <c r="B14" s="7" t="n">
        <f aca="false">B13*B5</f>
        <v>1500</v>
      </c>
    </row>
    <row r="15" customFormat="false" ht="15" hidden="false" customHeight="false" outlineLevel="0" collapsed="false">
      <c r="A15" s="3" t="s">
        <v>20</v>
      </c>
      <c r="B15" s="7" t="n">
        <f aca="false">B14*60</f>
        <v>90000</v>
      </c>
    </row>
    <row r="16" customFormat="false" ht="15" hidden="false" customHeight="false" outlineLevel="0" collapsed="false">
      <c r="A16" s="3" t="s">
        <v>21</v>
      </c>
      <c r="B16" s="7" t="n">
        <f aca="false">B15*B7</f>
        <v>90000</v>
      </c>
    </row>
    <row r="17" customFormat="false" ht="15" hidden="false" customHeight="false" outlineLevel="0" collapsed="false">
      <c r="A17" s="3" t="s">
        <v>22</v>
      </c>
      <c r="B17" s="7" t="n">
        <f aca="false">B15*B6</f>
        <v>180000</v>
      </c>
    </row>
    <row r="18" customFormat="false" ht="15" hidden="false" customHeight="false" outlineLevel="0" collapsed="false">
      <c r="A18" s="3" t="s">
        <v>23</v>
      </c>
      <c r="B18" s="7" t="n">
        <f aca="false">B13*B10/1000</f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3</v>
      </c>
    </row>
    <row r="4" customFormat="false" ht="15" hidden="false" customHeight="false" outlineLevel="0" collapsed="false">
      <c r="A4" s="3" t="s">
        <v>29</v>
      </c>
      <c r="B4" s="8" t="n">
        <v>2.28E-005</v>
      </c>
      <c r="C4" s="8" t="n">
        <v>1.8E-005</v>
      </c>
      <c r="D4" s="8" t="n">
        <v>2E-005</v>
      </c>
      <c r="E4" s="5" t="s">
        <v>30</v>
      </c>
    </row>
    <row r="5" customFormat="false" ht="15" hidden="false" customHeight="false" outlineLevel="0" collapsed="false">
      <c r="A5" s="3" t="s">
        <v>31</v>
      </c>
      <c r="B5" s="9" t="s">
        <v>32</v>
      </c>
      <c r="C5" s="8" t="n">
        <v>2E-006</v>
      </c>
      <c r="D5" s="8" t="n">
        <v>2.5E-006</v>
      </c>
      <c r="E5" s="5" t="s">
        <v>33</v>
      </c>
    </row>
    <row r="6" customFormat="false" ht="15" hidden="false" customHeight="false" outlineLevel="0" collapsed="false">
      <c r="A6" s="3" t="s">
        <v>34</v>
      </c>
      <c r="B6" s="8" t="n">
        <v>0.15</v>
      </c>
      <c r="C6" s="8" t="n">
        <v>0.026</v>
      </c>
      <c r="D6" s="8" t="n">
        <v>7E-008</v>
      </c>
      <c r="E6" s="5" t="s">
        <v>35</v>
      </c>
    </row>
    <row r="7" customFormat="false" ht="15" hidden="false" customHeight="false" outlineLevel="0" collapsed="false">
      <c r="A7" s="3" t="s">
        <v>36</v>
      </c>
      <c r="B7" s="8" t="n">
        <v>0.02</v>
      </c>
      <c r="C7" s="8" t="n">
        <v>0.12</v>
      </c>
      <c r="D7" s="8" t="n">
        <v>0.025</v>
      </c>
      <c r="E7" s="5" t="s">
        <v>37</v>
      </c>
    </row>
    <row r="8" customFormat="false" ht="15" hidden="false" customHeight="false" outlineLevel="0" collapsed="false">
      <c r="A8" s="3" t="s">
        <v>38</v>
      </c>
      <c r="B8" s="8" t="n">
        <v>0</v>
      </c>
      <c r="C8" s="8" t="n">
        <v>0</v>
      </c>
      <c r="D8" s="8" t="n">
        <v>5</v>
      </c>
      <c r="E8" s="5" t="s">
        <v>39</v>
      </c>
    </row>
    <row r="9" customFormat="false" ht="15" hidden="false" customHeight="false" outlineLevel="0" collapsed="false">
      <c r="A9" s="3" t="s">
        <v>40</v>
      </c>
      <c r="B9" s="8" t="n">
        <v>0</v>
      </c>
      <c r="C9" s="8" t="n">
        <v>240000</v>
      </c>
      <c r="D9" s="8" t="n">
        <v>0</v>
      </c>
      <c r="E9" s="5" t="s">
        <v>41</v>
      </c>
    </row>
    <row r="10" customFormat="false" ht="15" hidden="false" customHeight="false" outlineLevel="0" collapsed="false">
      <c r="A10" s="3" t="s">
        <v>42</v>
      </c>
      <c r="B10" s="8" t="n">
        <v>0</v>
      </c>
      <c r="C10" s="8" t="n">
        <v>450000</v>
      </c>
      <c r="D10" s="8" t="n">
        <v>0</v>
      </c>
      <c r="E10" s="5" t="s">
        <v>43</v>
      </c>
    </row>
    <row r="11" customFormat="false" ht="15" hidden="false" customHeight="false" outlineLevel="0" collapsed="false">
      <c r="A11" s="3" t="s">
        <v>44</v>
      </c>
      <c r="B11" s="8" t="n">
        <v>0</v>
      </c>
      <c r="C11" s="8" t="n">
        <v>0</v>
      </c>
      <c r="D11" s="8" t="n">
        <v>25</v>
      </c>
      <c r="E11" s="5" t="s">
        <v>45</v>
      </c>
    </row>
    <row r="12" customFormat="false" ht="15" hidden="false" customHeight="false" outlineLevel="0" collapsed="false">
      <c r="A12" s="3" t="s">
        <v>46</v>
      </c>
      <c r="B12" s="8" t="n">
        <v>0</v>
      </c>
      <c r="C12" s="8" t="n">
        <v>0</v>
      </c>
      <c r="D12" s="8" t="n">
        <v>375</v>
      </c>
      <c r="E12" s="5" t="s">
        <v>47</v>
      </c>
    </row>
    <row r="13" customFormat="false" ht="15" hidden="false" customHeight="false" outlineLevel="0" collapsed="false">
      <c r="A13" s="3" t="s">
        <v>48</v>
      </c>
      <c r="B13" s="8" t="n">
        <v>0.15</v>
      </c>
      <c r="C13" s="8" t="n">
        <v>0</v>
      </c>
      <c r="D13" s="8" t="n">
        <v>0</v>
      </c>
      <c r="E13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5" t="s">
        <v>51</v>
      </c>
    </row>
    <row r="4" customFormat="false" ht="15" hidden="false" customHeight="false" outlineLevel="0" collapsed="false">
      <c r="A4" s="2" t="s">
        <v>52</v>
      </c>
      <c r="B4" s="2" t="s">
        <v>26</v>
      </c>
      <c r="C4" s="2" t="s">
        <v>27</v>
      </c>
      <c r="D4" s="2" t="s">
        <v>28</v>
      </c>
      <c r="E4" s="2" t="s">
        <v>53</v>
      </c>
    </row>
    <row r="5" customFormat="false" ht="15" hidden="false" customHeight="false" outlineLevel="0" collapsed="false">
      <c r="A5" s="3" t="s">
        <v>54</v>
      </c>
      <c r="B5" s="10" t="n">
        <f aca="false">Assumptions!B16*'Platform Pricing'!B4</f>
        <v>2.052</v>
      </c>
      <c r="C5" s="10" t="n">
        <f aca="false">MAX(0,(Assumptions!B16-'Platform Pricing'!C9))*'Platform Pricing'!C4</f>
        <v>0</v>
      </c>
      <c r="D5" s="10" t="n">
        <f aca="false">MAX(0,(Assumptions!B16-'Platform Pricing'!D12*60))*'Platform Pricing'!D4</f>
        <v>1.35</v>
      </c>
    </row>
    <row r="6" customFormat="false" ht="15" hidden="false" customHeight="false" outlineLevel="0" collapsed="false">
      <c r="A6" s="3" t="s">
        <v>55</v>
      </c>
      <c r="B6" s="10" t="n">
        <v>0</v>
      </c>
      <c r="C6" s="10" t="n">
        <f aca="false">MAX(0,(Assumptions!B17-'Platform Pricing'!C10))*'Platform Pricing'!C5</f>
        <v>0</v>
      </c>
      <c r="D6" s="10" t="n">
        <f aca="false">MAX(0,(Assumptions!B17-'Platform Pricing'!D11*3600))*'Platform Pricing'!D5</f>
        <v>0.225</v>
      </c>
    </row>
    <row r="7" customFormat="false" ht="15" hidden="false" customHeight="false" outlineLevel="0" collapsed="false">
      <c r="A7" s="3" t="s">
        <v>56</v>
      </c>
      <c r="B7" s="10" t="n">
        <f aca="false">Assumptions!B9*'Platform Pricing'!B6</f>
        <v>0.15</v>
      </c>
      <c r="C7" s="10" t="n">
        <f aca="false">Assumptions!B9*'Platform Pricing'!C6</f>
        <v>0.026</v>
      </c>
      <c r="D7" s="10" t="n">
        <v>0</v>
      </c>
    </row>
    <row r="8" customFormat="false" ht="15" hidden="false" customHeight="false" outlineLevel="0" collapsed="false">
      <c r="A8" s="3" t="s">
        <v>57</v>
      </c>
      <c r="B8" s="10" t="n">
        <f aca="false">Assumptions!B18*'Platform Pricing'!B7</f>
        <v>0.03</v>
      </c>
      <c r="C8" s="10" t="n">
        <f aca="false">Assumptions!B18*'Platform Pricing'!C7</f>
        <v>0.18</v>
      </c>
      <c r="D8" s="10" t="n">
        <f aca="false">MAX(0,Assumptions!B18-1000)*'Platform Pricing'!D7</f>
        <v>0</v>
      </c>
    </row>
    <row r="9" customFormat="false" ht="15" hidden="false" customHeight="false" outlineLevel="0" collapsed="false">
      <c r="A9" s="3" t="s">
        <v>58</v>
      </c>
      <c r="B9" s="10" t="n">
        <v>0</v>
      </c>
      <c r="C9" s="10" t="n">
        <v>0</v>
      </c>
      <c r="D9" s="10" t="n">
        <v>5</v>
      </c>
    </row>
    <row r="10" customFormat="false" ht="15" hidden="false" customHeight="false" outlineLevel="0" collapsed="false">
      <c r="A10" s="3" t="s">
        <v>59</v>
      </c>
      <c r="B10" s="10" t="n">
        <f aca="false">2*'Platform Pricing'!B13</f>
        <v>0.3</v>
      </c>
      <c r="C10" s="10" t="n">
        <v>0</v>
      </c>
      <c r="D10" s="10" t="n">
        <v>0</v>
      </c>
    </row>
    <row r="11" customFormat="false" ht="15" hidden="false" customHeight="false" outlineLevel="0" collapsed="false">
      <c r="A11" s="3" t="s">
        <v>60</v>
      </c>
      <c r="E11" s="10" t="n">
        <f aca="false">Assumptions!B14/60*0.08</f>
        <v>2</v>
      </c>
    </row>
    <row r="13" customFormat="false" ht="15" hidden="false" customHeight="false" outlineLevel="0" collapsed="false">
      <c r="A13" s="11" t="s">
        <v>61</v>
      </c>
      <c r="B13" s="12" t="n">
        <f aca="false">SUM(B5:B10)</f>
        <v>2.532</v>
      </c>
      <c r="C13" s="12" t="n">
        <f aca="false">SUM(C5:C10)</f>
        <v>0.206</v>
      </c>
      <c r="D13" s="12" t="n">
        <f aca="false">SUM(D5:D10)</f>
        <v>6.575</v>
      </c>
      <c r="E13" s="12" t="n">
        <f aca="false">E11</f>
        <v>2</v>
      </c>
    </row>
    <row r="14" customFormat="false" ht="15" hidden="false" customHeight="false" outlineLevel="0" collapsed="false">
      <c r="A14" s="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2" t="s">
        <v>64</v>
      </c>
      <c r="B3" s="2" t="s">
        <v>65</v>
      </c>
      <c r="C3" s="2" t="s">
        <v>66</v>
      </c>
      <c r="D3" s="2" t="s">
        <v>26</v>
      </c>
      <c r="E3" s="2" t="s">
        <v>27</v>
      </c>
      <c r="F3" s="2" t="s">
        <v>28</v>
      </c>
      <c r="G3" s="2" t="s">
        <v>53</v>
      </c>
    </row>
    <row r="4" customFormat="false" ht="15" hidden="false" customHeight="false" outlineLevel="0" collapsed="false">
      <c r="A4" s="3" t="s">
        <v>67</v>
      </c>
      <c r="B4" s="4" t="n">
        <v>3</v>
      </c>
      <c r="C4" s="4" t="n">
        <v>3</v>
      </c>
      <c r="D4" s="10" t="n">
        <v>0.82</v>
      </c>
      <c r="E4" s="10" t="n">
        <v>0.03</v>
      </c>
      <c r="F4" s="10" t="n">
        <v>5</v>
      </c>
      <c r="G4" s="10" t="n">
        <v>0.36</v>
      </c>
    </row>
    <row r="5" customFormat="false" ht="15" hidden="false" customHeight="false" outlineLevel="0" collapsed="false">
      <c r="A5" s="3" t="s">
        <v>68</v>
      </c>
      <c r="B5" s="4" t="n">
        <v>10</v>
      </c>
      <c r="C5" s="4" t="n">
        <v>5</v>
      </c>
      <c r="D5" s="10" t="n">
        <v>2.5</v>
      </c>
      <c r="E5" s="10" t="n">
        <v>0.03</v>
      </c>
      <c r="F5" s="10" t="n">
        <v>6.58</v>
      </c>
      <c r="G5" s="10" t="n">
        <v>2</v>
      </c>
    </row>
    <row r="6" customFormat="false" ht="15" hidden="false" customHeight="false" outlineLevel="0" collapsed="false">
      <c r="A6" s="3" t="s">
        <v>69</v>
      </c>
      <c r="B6" s="4" t="n">
        <v>30</v>
      </c>
      <c r="C6" s="4" t="n">
        <v>5</v>
      </c>
      <c r="D6" s="10" t="n">
        <v>6.61</v>
      </c>
      <c r="E6" s="10" t="n">
        <v>0.75</v>
      </c>
      <c r="F6" s="10" t="n">
        <v>11.07</v>
      </c>
      <c r="G6" s="10" t="n">
        <v>6</v>
      </c>
    </row>
    <row r="7" customFormat="false" ht="15" hidden="false" customHeight="false" outlineLevel="0" collapsed="false">
      <c r="A7" s="3" t="s">
        <v>70</v>
      </c>
      <c r="B7" s="4" t="n">
        <v>50</v>
      </c>
      <c r="C7" s="4" t="n">
        <v>8</v>
      </c>
      <c r="D7" s="10" t="n">
        <v>16.87</v>
      </c>
      <c r="E7" s="10" t="n">
        <v>10.65</v>
      </c>
      <c r="F7" s="10" t="n">
        <v>22.33</v>
      </c>
      <c r="G7" s="10" t="n">
        <v>16</v>
      </c>
    </row>
    <row r="8" customFormat="false" ht="15" hidden="false" customHeight="false" outlineLevel="0" collapsed="false">
      <c r="A8" s="3" t="s">
        <v>71</v>
      </c>
      <c r="B8" s="4" t="n">
        <v>100</v>
      </c>
      <c r="C8" s="4" t="n">
        <v>10</v>
      </c>
      <c r="D8" s="10" t="n">
        <v>41.49</v>
      </c>
      <c r="E8" s="10" t="n">
        <v>34.41</v>
      </c>
      <c r="F8" s="10" t="n">
        <v>49.33</v>
      </c>
      <c r="G8" s="10" t="n">
        <v>40</v>
      </c>
    </row>
    <row r="10" customFormat="false" ht="15" hidden="false" customHeight="false" outlineLevel="0" collapsed="false">
      <c r="A10" s="3" t="s">
        <v>72</v>
      </c>
    </row>
    <row r="11" customFormat="false" ht="15" hidden="false" customHeight="false" outlineLevel="0" collapsed="false">
      <c r="A11" s="5" t="s">
        <v>73</v>
      </c>
    </row>
    <row r="12" customFormat="false" ht="15" hidden="false" customHeight="false" outlineLevel="0" collapsed="false">
      <c r="A12" s="5" t="s">
        <v>74</v>
      </c>
    </row>
    <row r="13" customFormat="false" ht="15" hidden="false" customHeight="false" outlineLevel="0" collapsed="false">
      <c r="A13" s="5" t="s">
        <v>75</v>
      </c>
    </row>
    <row r="14" customFormat="false" ht="15" hidden="false" customHeight="false" outlineLevel="0" collapsed="false">
      <c r="A14" s="5" t="s">
        <v>76</v>
      </c>
    </row>
    <row r="15" customFormat="false" ht="15" hidden="false" customHeight="false" outlineLevel="0" collapsed="false">
      <c r="A15" s="5" t="s">
        <v>77</v>
      </c>
    </row>
    <row r="16" customFormat="false" ht="15" hidden="false" customHeight="false" outlineLevel="0" collapsed="false">
      <c r="A16" s="5" t="s">
        <v>78</v>
      </c>
    </row>
    <row r="17" customFormat="false" ht="15" hidden="false" customHeight="false" outlineLevel="0" collapsed="false">
      <c r="A17" s="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2026-04-11T13:09:38Z</dcterms:created>
  <dc:creator>openpyxl</dc:creator>
  <dc:description/>
  <dc:language>en-US</dc:language>
  <cp:lastModifiedBy/>
  <dcterms:modified xsi:type="dcterms:W3CDTF">2026-04-11T13:09:39Z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